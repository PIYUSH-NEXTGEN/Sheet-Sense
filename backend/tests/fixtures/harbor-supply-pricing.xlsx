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ettings" sheetId="2" state="visible" r:id="rId2"/>
    <sheet name="Pric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Cost</t>
        </is>
      </c>
      <c r="C1" t="inlineStr">
        <is>
          <t>Qty</t>
        </is>
      </c>
    </row>
    <row r="2">
      <c r="A2" t="inlineStr">
        <is>
          <t>Copy Paper A4 Rim</t>
        </is>
      </c>
      <c r="B2" t="n">
        <v>4.8</v>
      </c>
      <c r="C2" t="n">
        <v>12</v>
      </c>
    </row>
    <row r="3">
      <c r="A3" t="inlineStr">
        <is>
          <t>Ballpoint Pen Box</t>
        </is>
      </c>
      <c r="B3" t="n">
        <v>6.4</v>
      </c>
      <c r="C3" t="n">
        <v>8</v>
      </c>
    </row>
    <row r="4">
      <c r="A4" t="inlineStr">
        <is>
          <t>Stapler Pro</t>
        </is>
      </c>
      <c r="B4" t="n">
        <v>14.95</v>
      </c>
      <c r="C4" t="n">
        <v>3</v>
      </c>
    </row>
    <row r="5">
      <c r="A5" t="inlineStr">
        <is>
          <t>Sticky Notes Pack</t>
        </is>
      </c>
      <c r="B5" t="n">
        <v>3.25</v>
      </c>
      <c r="C5" t="n">
        <v>20</v>
      </c>
    </row>
    <row r="6">
      <c r="A6" t="inlineStr">
        <is>
          <t>Binder Clips Box</t>
        </is>
      </c>
      <c r="B6" t="n">
        <v>2.1</v>
      </c>
      <c r="C6" t="n">
        <v>15</v>
      </c>
    </row>
    <row r="7">
      <c r="A7" t="inlineStr">
        <is>
          <t>Highlighters Set</t>
        </is>
      </c>
      <c r="B7" t="n">
        <v>5.6</v>
      </c>
      <c r="C7" t="n">
        <v>9</v>
      </c>
    </row>
    <row r="8">
      <c r="A8" t="inlineStr">
        <is>
          <t>Desk Organizer</t>
        </is>
      </c>
      <c r="B8" t="n">
        <v>18.75</v>
      </c>
      <c r="C8" t="n">
        <v>2</v>
      </c>
    </row>
    <row r="9">
      <c r="A9" t="inlineStr">
        <is>
          <t>USB-C Cable 2m</t>
        </is>
      </c>
      <c r="B9" t="n">
        <v>9.9</v>
      </c>
      <c r="C9" t="n">
        <v>11</v>
      </c>
    </row>
    <row r="10">
      <c r="A10" t="inlineStr">
        <is>
          <t>Wireless Mouse</t>
        </is>
      </c>
      <c r="B10" t="n">
        <v>24.5</v>
      </c>
      <c r="C10" t="n">
        <v>4</v>
      </c>
    </row>
    <row r="11">
      <c r="A11" t="inlineStr">
        <is>
          <t>Keyboard Wired</t>
        </is>
      </c>
      <c r="B11" t="n">
        <v>32</v>
      </c>
      <c r="C11" t="n">
        <v>4</v>
      </c>
    </row>
    <row r="12">
      <c r="A12" t="inlineStr">
        <is>
          <t>Monitor Stand</t>
        </is>
      </c>
      <c r="B12" t="n">
        <v>45.95</v>
      </c>
      <c r="C12" t="n">
        <v>2</v>
      </c>
    </row>
    <row r="13">
      <c r="A13" t="inlineStr">
        <is>
          <t>Notebook A5</t>
        </is>
      </c>
      <c r="B13" t="n">
        <v>3.9</v>
      </c>
      <c r="C13" t="n">
        <v>25</v>
      </c>
    </row>
    <row r="14">
      <c r="A14" t="inlineStr">
        <is>
          <t>Envelope Box</t>
        </is>
      </c>
      <c r="B14" t="n">
        <v>7.3</v>
      </c>
      <c r="C14" t="n">
        <v>6</v>
      </c>
    </row>
    <row r="15">
      <c r="A15" t="inlineStr">
        <is>
          <t>Tape Dispenser</t>
        </is>
      </c>
      <c r="B15" t="n">
        <v>8.85</v>
      </c>
      <c r="C15" t="n">
        <v>5</v>
      </c>
    </row>
    <row r="16">
      <c r="A16" t="inlineStr">
        <is>
          <t>Scissors Pair</t>
        </is>
      </c>
      <c r="B16" t="n">
        <v>4.45</v>
      </c>
      <c r="C16" t="n">
        <v>7</v>
      </c>
    </row>
    <row r="17">
      <c r="A17" t="inlineStr">
        <is>
          <t>Whiteboard Markers</t>
        </is>
      </c>
      <c r="B17" t="n">
        <v>11.2</v>
      </c>
      <c r="C17" t="n">
        <v>6</v>
      </c>
    </row>
    <row r="18">
      <c r="A18" t="inlineStr">
        <is>
          <t>Filing Folders Pack</t>
        </is>
      </c>
      <c r="B18" t="n">
        <v>12.6</v>
      </c>
      <c r="C18" t="n">
        <v>10</v>
      </c>
    </row>
    <row r="19">
      <c r="A19" t="inlineStr">
        <is>
          <t>Label Roll</t>
        </is>
      </c>
      <c r="B19" t="n">
        <v>13.4</v>
      </c>
      <c r="C19" t="n">
        <v>5</v>
      </c>
    </row>
    <row r="20">
      <c r="A20" t="inlineStr">
        <is>
          <t>Desk Lamp</t>
        </is>
      </c>
      <c r="B20" t="n">
        <v>29.99</v>
      </c>
      <c r="C20" t="n">
        <v>3</v>
      </c>
    </row>
    <row r="21">
      <c r="A21" t="inlineStr">
        <is>
          <t>Trash Bin 12L</t>
        </is>
      </c>
      <c r="B21" t="n">
        <v>16.5</v>
      </c>
      <c r="C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</t>
        </is>
      </c>
      <c r="B1" t="n">
        <v>0.25</v>
      </c>
    </row>
    <row r="2">
      <c r="A2" t="inlineStr">
        <is>
          <t>Tax rate</t>
        </is>
      </c>
      <c r="B2" t="n">
        <v>0.08</v>
      </c>
    </row>
    <row r="3">
      <c r="A3" t="inlineStr">
        <is>
          <t>Unused discount</t>
        </is>
      </c>
      <c r="B3" t="n">
        <v>0.1</v>
      </c>
    </row>
    <row r="4">
      <c r="A4" t="inlineStr">
        <is>
          <t>Surcharge</t>
        </is>
      </c>
      <c r="B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Total</t>
        </is>
      </c>
      <c r="C1" t="inlineStr">
        <is>
          <t>Price</t>
        </is>
      </c>
      <c r="D1" t="inlineStr">
        <is>
          <t>With Tax</t>
        </is>
      </c>
    </row>
    <row r="2">
      <c r="A2">
        <f>Inputs!A2</f>
        <v/>
      </c>
      <c r="B2">
        <f>Inputs!B2*Inputs!C2</f>
        <v/>
      </c>
      <c r="C2">
        <f>B2*(1+Settings!$B$1)</f>
        <v/>
      </c>
      <c r="D2">
        <f>C2+C2*Settings!$B$2</f>
        <v/>
      </c>
    </row>
    <row r="3">
      <c r="A3">
        <f>Inputs!A3</f>
        <v/>
      </c>
      <c r="B3">
        <f>Inputs!B3*Inputs!C3</f>
        <v/>
      </c>
      <c r="C3">
        <f>B3*(1+Settings!$B$1)</f>
        <v/>
      </c>
      <c r="D3">
        <f>C3+C3*Settings!$B$2</f>
        <v/>
      </c>
    </row>
    <row r="4">
      <c r="A4">
        <f>Inputs!A4</f>
        <v/>
      </c>
      <c r="B4">
        <f>Inputs!B4*Inputs!C4</f>
        <v/>
      </c>
      <c r="C4">
        <f>B4*(1+Settings!$B$1)</f>
        <v/>
      </c>
      <c r="D4">
        <f>C4+C4*Settings!$B$2</f>
        <v/>
      </c>
    </row>
    <row r="5">
      <c r="A5">
        <f>Inputs!A5</f>
        <v/>
      </c>
      <c r="B5">
        <f>Inputs!B5*Inputs!C5</f>
        <v/>
      </c>
      <c r="C5">
        <f>B5*(1+Settings!$B$1)</f>
        <v/>
      </c>
      <c r="D5">
        <f>C5+C5*Settings!$B$2</f>
        <v/>
      </c>
    </row>
    <row r="6">
      <c r="A6">
        <f>Inputs!A6</f>
        <v/>
      </c>
      <c r="B6">
        <f>Inputs!B6*Inputs!C6</f>
        <v/>
      </c>
      <c r="C6">
        <f>B6*(1+Settings!$B$1)</f>
        <v/>
      </c>
      <c r="D6">
        <f>C6+C6*Settings!$B$2</f>
        <v/>
      </c>
    </row>
    <row r="7">
      <c r="A7">
        <f>Inputs!A7</f>
        <v/>
      </c>
      <c r="B7">
        <f>Inputs!B7*Inputs!C7</f>
        <v/>
      </c>
      <c r="C7">
        <f>B7*(1+Settings!$B$1)</f>
        <v/>
      </c>
      <c r="D7">
        <f>C7+C7*Settings!$B$2</f>
        <v/>
      </c>
    </row>
    <row r="8">
      <c r="A8">
        <f>Inputs!A8</f>
        <v/>
      </c>
      <c r="B8">
        <f>Inputs!B8*Inputs!C8</f>
        <v/>
      </c>
      <c r="C8">
        <f>B8*(1+Settings!$B$1)</f>
        <v/>
      </c>
      <c r="D8">
        <f>C8+C8*Settings!$B$2</f>
        <v/>
      </c>
    </row>
    <row r="9">
      <c r="A9">
        <f>Inputs!A9</f>
        <v/>
      </c>
      <c r="B9">
        <f>Inputs!B9*Inputs!C9</f>
        <v/>
      </c>
      <c r="C9">
        <f>B9*(1+Settings!$B$1)</f>
        <v/>
      </c>
      <c r="D9">
        <f>C9+C9*Settings!$B$2</f>
        <v/>
      </c>
    </row>
    <row r="10">
      <c r="A10">
        <f>Inputs!A10</f>
        <v/>
      </c>
      <c r="B10">
        <f>Inputs!B10*Inputs!C10</f>
        <v/>
      </c>
      <c r="C10">
        <f>B10*(1+Settings!$B$1)</f>
        <v/>
      </c>
      <c r="D10">
        <f>C10+C10*Settings!$B$2</f>
        <v/>
      </c>
    </row>
    <row r="11">
      <c r="A11">
        <f>Inputs!A11</f>
        <v/>
      </c>
      <c r="B11">
        <f>Inputs!B11*Inputs!C11</f>
        <v/>
      </c>
      <c r="C11">
        <f>B11*(1+Settings!$B$1)</f>
        <v/>
      </c>
      <c r="D11">
        <f>C11+C11*Settings!$B$2</f>
        <v/>
      </c>
    </row>
    <row r="12">
      <c r="A12">
        <f>Inputs!A12</f>
        <v/>
      </c>
      <c r="B12">
        <f>Inputs!B12*Inputs!C12</f>
        <v/>
      </c>
      <c r="C12">
        <f>B12*(1+Settings!$B$1)</f>
        <v/>
      </c>
      <c r="D12">
        <f>C12+C12*Settings!$B$2</f>
        <v/>
      </c>
    </row>
    <row r="13">
      <c r="A13">
        <f>Inputs!A13</f>
        <v/>
      </c>
      <c r="B13">
        <f>Inputs!B13*Inputs!C13</f>
        <v/>
      </c>
      <c r="C13" t="n">
        <v>99.5</v>
      </c>
      <c r="D13">
        <f>C13+C13*Settings!$B$2</f>
        <v/>
      </c>
    </row>
    <row r="14">
      <c r="A14">
        <f>Inputs!A14</f>
        <v/>
      </c>
      <c r="B14">
        <f>Inputs!B14*Inputs!C14</f>
        <v/>
      </c>
      <c r="C14">
        <f>B14*(1+Settings!$B$1)</f>
        <v/>
      </c>
      <c r="D14">
        <f>C14+C14*Settings!$B$2</f>
        <v/>
      </c>
    </row>
    <row r="15">
      <c r="A15">
        <f>Inputs!A15</f>
        <v/>
      </c>
      <c r="B15">
        <f>Inputs!B15*Inputs!C15</f>
        <v/>
      </c>
      <c r="C15">
        <f>B15*(1+Settings!$B$1)</f>
        <v/>
      </c>
      <c r="D15">
        <f>C15+C15*Settings!$B$2</f>
        <v/>
      </c>
    </row>
    <row r="16">
      <c r="A16">
        <f>Inputs!A16</f>
        <v/>
      </c>
      <c r="B16">
        <f>Inputs!B16*Inputs!C16</f>
        <v/>
      </c>
      <c r="C16">
        <f>B16*(1+Settings!$B$1)</f>
        <v/>
      </c>
      <c r="D16">
        <f>C16+C16*Settings!$B$2</f>
        <v/>
      </c>
    </row>
    <row r="17">
      <c r="A17">
        <f>Inputs!A17</f>
        <v/>
      </c>
      <c r="B17">
        <f>Inputs!B17*Inputs!C17</f>
        <v/>
      </c>
      <c r="C17">
        <f>B17*(1+Settings!$B$1)</f>
        <v/>
      </c>
      <c r="D17">
        <f>C17+C17*Settings!$B$2</f>
        <v/>
      </c>
    </row>
    <row r="18">
      <c r="A18">
        <f>Inputs!A18</f>
        <v/>
      </c>
      <c r="B18">
        <f>Inputs!B18*Inputs!C18</f>
        <v/>
      </c>
      <c r="C18">
        <f>B18*(1+Settings!$B$1)</f>
        <v/>
      </c>
      <c r="D18">
        <f>C18+C18*Settings!$B$2</f>
        <v/>
      </c>
    </row>
    <row r="19">
      <c r="A19">
        <f>Inputs!A19</f>
        <v/>
      </c>
      <c r="B19">
        <f>Inputs!B19*Inputs!C19</f>
        <v/>
      </c>
      <c r="C19">
        <f>B19*(1+Settings!$B$1)</f>
        <v/>
      </c>
      <c r="D19">
        <f>C19+C19*Settings!$B$2</f>
        <v/>
      </c>
    </row>
    <row r="20">
      <c r="A20">
        <f>Inputs!A20</f>
        <v/>
      </c>
      <c r="B20">
        <f>Inputs!B20*Inputs!C20</f>
        <v/>
      </c>
      <c r="C20">
        <f>B20*(1+Settings!$B$1)</f>
        <v/>
      </c>
      <c r="D20">
        <f>C20+C20*Settings!$B$2</f>
        <v/>
      </c>
    </row>
    <row r="21">
      <c r="A21">
        <f>Inputs!A21</f>
        <v/>
      </c>
      <c r="B21">
        <f>Inputs!B21*Inputs!C21</f>
        <v/>
      </c>
      <c r="C21">
        <f>B21*(1+Settings!$B$1)</f>
        <v/>
      </c>
      <c r="D21">
        <f>C21+C21*Settings!$B$2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cost</t>
        </is>
      </c>
      <c r="B2">
        <f>SUM(Pricing!B2:B21)</f>
        <v/>
      </c>
    </row>
    <row r="3">
      <c r="A3" t="inlineStr">
        <is>
          <t>Total price</t>
        </is>
      </c>
      <c r="B3">
        <f>SUM(Pricing!C2:C20)</f>
        <v/>
      </c>
    </row>
    <row r="4">
      <c r="A4" t="inlineStr">
        <is>
          <t>Total with tax</t>
        </is>
      </c>
      <c r="B4">
        <f>SUM(Pricing!D2:D21)</f>
        <v/>
      </c>
    </row>
    <row r="5">
      <c r="A5" t="inlineStr">
        <is>
          <t>Total with surcharge</t>
        </is>
      </c>
      <c r="B5">
        <f>B4*1.15</f>
        <v/>
      </c>
    </row>
    <row r="7">
      <c r="A7" t="inlineStr">
        <is>
          <t>Loop A</t>
        </is>
      </c>
      <c r="B7">
        <f>B8+1</f>
        <v/>
      </c>
    </row>
    <row r="8">
      <c r="A8" t="inlineStr">
        <is>
          <t>Loop B</t>
        </is>
      </c>
      <c r="B8">
        <f>B7*2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2026-10-15T18:42:08Z</dcterms:created>
  <dcterms:modified xsi:type="dcterms:W3CDTF">2026-10-15T18:42:08Z</dcterms:modified>
</cp:coreProperties>
</file>